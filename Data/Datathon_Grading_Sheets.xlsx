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cil\Downloads\"/>
    </mc:Choice>
  </mc:AlternateContent>
  <xr:revisionPtr revIDLastSave="0" documentId="13_ncr:1_{F110A82C-7C18-4632-8A89-795889371817}" xr6:coauthVersionLast="47" xr6:coauthVersionMax="47" xr10:uidLastSave="{00000000-0000-0000-0000-000000000000}"/>
  <bookViews>
    <workbookView xWindow="20" yWindow="740" windowWidth="25580" windowHeight="15260" tabRatio="810" xr2:uid="{00000000-000D-0000-FFFF-FFFF00000000}"/>
  </bookViews>
  <sheets>
    <sheet name="Dr. Yang" sheetId="1" r:id="rId1"/>
    <sheet name="Dr. Conolly" sheetId="2" r:id="rId2"/>
    <sheet name="Dr. Rivas" sheetId="3" r:id="rId3"/>
    <sheet name="Dr. Behzad" sheetId="4" r:id="rId4"/>
    <sheet name="Rubab" sheetId="5" r:id="rId5"/>
    <sheet name="Nikhitha" sheetId="6" r:id="rId6"/>
    <sheet name="Abhijit" sheetId="7" r:id="rId7"/>
    <sheet name="Clivin, Jay, zecil" sheetId="8" r:id="rId8"/>
    <sheet name="No Match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</calcChain>
</file>

<file path=xl/sharedStrings.xml><?xml version="1.0" encoding="utf-8"?>
<sst xmlns="http://schemas.openxmlformats.org/spreadsheetml/2006/main" count="240" uniqueCount="140">
  <si>
    <t>Project</t>
  </si>
  <si>
    <t>Team Name</t>
  </si>
  <si>
    <t>Devpost URL</t>
  </si>
  <si>
    <t>Safe Haven</t>
  </si>
  <si>
    <t>HealthIntelligences</t>
  </si>
  <si>
    <t>DataNauts</t>
  </si>
  <si>
    <t>Seed333</t>
  </si>
  <si>
    <t>https://uta-datathon-25.devpost.com/submissions/642400-safe-haven_healthintelligences</t>
  </si>
  <si>
    <t>https://uta-datathon-25.devpost.com/submissions/642815-safe-haven_datanauts</t>
  </si>
  <si>
    <t>https://uta-datathon-25.devpost.com/submissions/642816-safe-haven_seed333</t>
  </si>
  <si>
    <t>Data Doomsday</t>
  </si>
  <si>
    <t>Rangers</t>
  </si>
  <si>
    <t>Doomdays</t>
  </si>
  <si>
    <t>Random</t>
  </si>
  <si>
    <t>Datanauts</t>
  </si>
  <si>
    <t>https://uta-datathon-25.devpost.com/submissions/642563-data_doomdays_angelina</t>
  </si>
  <si>
    <t>https://uta-datathon-25.devpost.com/submissions/642709-data-doomsday_random</t>
  </si>
  <si>
    <t>https://uta-datathon-25.devpost.com/submissions/642841-data-doomsday_datanauts</t>
  </si>
  <si>
    <t>Model Mash: LLM Arena</t>
  </si>
  <si>
    <t>AskArlington</t>
  </si>
  <si>
    <t>WhiteCoatAI</t>
  </si>
  <si>
    <t>Gawkers</t>
  </si>
  <si>
    <t>PTP</t>
  </si>
  <si>
    <t>Team DataCrafter</t>
  </si>
  <si>
    <t>code crafters</t>
  </si>
  <si>
    <t>Deployables</t>
  </si>
  <si>
    <t>SSSH</t>
  </si>
  <si>
    <t>https://uta-datathon-25.devpost.com/submissions/642263-model-mash-llm-arena_askarlington</t>
  </si>
  <si>
    <t>https://uta-datathon-25.devpost.com/submissions/642319-model-mash-llm-arena_whitecoatai</t>
  </si>
  <si>
    <t>https://uta-datathon-25.devpost.com/submissions/642397-model-mash-llm-arena_gawkers</t>
  </si>
  <si>
    <t>https://uta-datathon-25.devpost.com/submissions/642729-model-mash-llm-arena_ptp</t>
  </si>
  <si>
    <t>https://uta-datathon-25.devpost.com/submissions/642788-model-mash-llm-arena_code-crafters</t>
  </si>
  <si>
    <t>https://uta-datathon-25.devpost.com/submissions/642789-model-mash-llm-arena_deployables</t>
  </si>
  <si>
    <t>https://uta-datathon-25.devpost.com/submissions/643473-model-mash_seed333</t>
  </si>
  <si>
    <t>KSAT Quest: Regression Runoff</t>
  </si>
  <si>
    <t>LastMinuteMiners</t>
  </si>
  <si>
    <t>NERDY</t>
  </si>
  <si>
    <t>Regression</t>
  </si>
  <si>
    <t>DataMiners</t>
  </si>
  <si>
    <t>https://uta-datathon-25.devpost.com/submissions/642743-ksat-quest-regression_datanauts</t>
  </si>
  <si>
    <t>https://uta-datathon-25.devpost.com/submissions/642750-ksat-quest-regression-runoff_lastminuteminers</t>
  </si>
  <si>
    <t>https://uta-datathon-25.devpost.com/submissions/642814-ksat-quest-regression-runoff_code-crafters</t>
  </si>
  <si>
    <t>https://uta-datathon-25.devpost.com/submissions/642822-ksat-quest-regression-runoff_nerdy_potatoes</t>
  </si>
  <si>
    <t>https://uta-datathon-25.devpost.com/submissions/642843-ksat-quest_regression_runoff_team_soilutionists</t>
  </si>
  <si>
    <t>https://uta-datathon-25.devpost.com/submissions/643172-ksat-quest-regression-runoff_dataminers</t>
  </si>
  <si>
    <t>Dungeons and Dragons</t>
  </si>
  <si>
    <t>https://uta-datathon-25.devpost.com/submissions/642821-dungeons-and-dragons_seed333</t>
  </si>
  <si>
    <t>https://uta-datathon-25.devpost.com/submissions/642823-dungeons-and-dragons_datanauts</t>
  </si>
  <si>
    <t>GeoQuest: The Hazard Chronicles</t>
  </si>
  <si>
    <t>https://uta-datathon-25.devpost.com/submissions/642527-geoquest-the-hazard-chronicles_sssh</t>
  </si>
  <si>
    <t>https://uta-datathon-25.devpost.com/submissions/643097-geoquest-the-hazard-chronicles_dataminers</t>
  </si>
  <si>
    <t>Deepfake Duel: Truth vs. Trickery</t>
  </si>
  <si>
    <t>TeamVerstappen</t>
  </si>
  <si>
    <t>Deepfakers</t>
  </si>
  <si>
    <t>https://uta-datathon-25.devpost.com/submissions/642642-deepfake-duel-truth-vs-trickery_teamverstappen</t>
  </si>
  <si>
    <t>https://uta-datathon-25.devpost.com/submissions/642681-deepfake-duel-truth-vs-trickery_team-datacrafter</t>
  </si>
  <si>
    <t>https://uta-datathon-25.devpost.com/submissions/642714-deepfake-duel-truth-vs-trickery_deepfakers</t>
  </si>
  <si>
    <t>https://uta-datathon-25.devpost.com/submissions/642732-deepfake-duel-truth-vs-trickery_datanauts</t>
  </si>
  <si>
    <t>https://uta-datathon-25.devpost.com/submissions/642810-deepfake-duel-truth-vs-trickery_code-crafters</t>
  </si>
  <si>
    <t>EDA Patrol</t>
  </si>
  <si>
    <t>Nerdy</t>
  </si>
  <si>
    <t>Patrol</t>
  </si>
  <si>
    <t>InsightInnovators</t>
  </si>
  <si>
    <t>https://uta-datathon-25.devpost.com/submissions/642279-eda-patrol_nerdy_potatoes</t>
  </si>
  <si>
    <t>https://uta-datathon-25.devpost.com/submissions/642306-eda-patrol_gawkers</t>
  </si>
  <si>
    <t>https://uta-datathon-25.devpost.com/submissions/642334-eda-patrol_dataminers</t>
  </si>
  <si>
    <t>https://uta-datathon-25.devpost.com/submissions/642450-eda_patrol</t>
  </si>
  <si>
    <t>https://uta-datathon-25.devpost.com/submissions/642455-eda-patrol_random</t>
  </si>
  <si>
    <t>https://uta-datathon-25.devpost.com/submissions/642485-eda_patrol_datanauts</t>
  </si>
  <si>
    <t>https://uta-datathon-25.devpost.com/submissions/642546-eda-patrol_insightinnovators</t>
  </si>
  <si>
    <t>https://uta-datathon-25.devpost.com/submissions/642718-eda-patrol_deployables</t>
  </si>
  <si>
    <t>https://uta-datathon-25.devpost.com/submissions/642796-eda-patrol_seed333</t>
  </si>
  <si>
    <t>Project Title</t>
  </si>
  <si>
    <t>Submission Url</t>
  </si>
  <si>
    <t>model-challenge-1</t>
  </si>
  <si>
    <t>Untitled</t>
  </si>
  <si>
    <t>UnlimitedUs</t>
  </si>
  <si>
    <t xml:space="preserve">‎ ‎ </t>
  </si>
  <si>
    <t>EDA Patrol Dataset</t>
  </si>
  <si>
    <t>Shamrock</t>
  </si>
  <si>
    <t>Data Dragons</t>
  </si>
  <si>
    <t>DayDoomData</t>
  </si>
  <si>
    <t>Dungeons &amp; Data: A Critical Role Viz</t>
  </si>
  <si>
    <t>Crimelens India: Analyzing District-Level Crime Trends</t>
  </si>
  <si>
    <t xml:space="preserve"> LLM Arena_Thundercats</t>
  </si>
  <si>
    <t>DataDump</t>
  </si>
  <si>
    <t>KsatFlow: ML-Powered Soil Permeability Estimation_Buffden</t>
  </si>
  <si>
    <t>That looks Sus - Shamrock</t>
  </si>
  <si>
    <t>TaskTracker_AI_Chatbot</t>
  </si>
  <si>
    <t>model-challenge-2</t>
  </si>
  <si>
    <t>model-challenge-3</t>
  </si>
  <si>
    <t>Smart Switch</t>
  </si>
  <si>
    <t>Rizztaurant</t>
  </si>
  <si>
    <t>Meet</t>
  </si>
  <si>
    <t>ArtifactNet</t>
  </si>
  <si>
    <t>GeoQuest_Seed333</t>
  </si>
  <si>
    <t>Sarcastic Self-Help Guru</t>
  </si>
  <si>
    <t>LLM</t>
  </si>
  <si>
    <t>KSATQuest:RegressionRunoff_JASP</t>
  </si>
  <si>
    <t>EsportsBot AI</t>
  </si>
  <si>
    <t>Forecasting crime trends across India</t>
  </si>
  <si>
    <t>TeamWise</t>
  </si>
  <si>
    <t>ATC (Air Traffic Controller) AI</t>
  </si>
  <si>
    <t>GazeIntel</t>
  </si>
  <si>
    <t>Truth or Dare AI</t>
  </si>
  <si>
    <t>TerraFlow: A Machine Learning Approach to Predict Soil Ksat</t>
  </si>
  <si>
    <t>https://uta-datathon-25.devpost.com/submissions/642260-</t>
  </si>
  <si>
    <t>https://uta-datathon-25.devpost.com/submissions/642264-eda-patrol-dataset</t>
  </si>
  <si>
    <t>https://uta-datathon-25.devpost.com/submissions/642266-shamrock</t>
  </si>
  <si>
    <t>https://uta-datathon-25.devpost.com/submissions/642281-daydoomdata</t>
  </si>
  <si>
    <t>https://uta-datathon-25.devpost.com/submissions/642290-safe-haven</t>
  </si>
  <si>
    <t>https://uta-datathon-25.devpost.com/submissions/642297-crimelens-india-analyzing-district-level-crime-trends</t>
  </si>
  <si>
    <t>https://uta-datathon-25.devpost.com/submissions/642322-eda-patrol</t>
  </si>
  <si>
    <t>https://uta-datathon-25.devpost.com/submissions/642341-llm-arena_thundercats</t>
  </si>
  <si>
    <t>https://uta-datathon-25.devpost.com/submissions/642447-data-doomsday</t>
  </si>
  <si>
    <t>https://uta-datathon-25.devpost.com/submissions/642558-ksatflow-ml-powered-soil-permeability-estimation_buffden</t>
  </si>
  <si>
    <t>https://uta-datathon-25.devpost.com/submissions/642635-that-looks-sus-shamrock</t>
  </si>
  <si>
    <t>https://uta-datathon-25.devpost.com/submissions/642712-model-mash-llm-arena</t>
  </si>
  <si>
    <t>https://uta-datathon-25.devpost.com/submissions/642764-deepfake-duel-truth-vs-trickery</t>
  </si>
  <si>
    <t>https://uta-datathon-25.devpost.com/submissions/642772-smart-switch</t>
  </si>
  <si>
    <t>https://uta-datathon-25.devpost.com/submissions/642793-rizztaurant</t>
  </si>
  <si>
    <t>https://uta-datathon-25.devpost.com/submissions/642794-meet</t>
  </si>
  <si>
    <t>https://uta-datathon-25.devpost.com/submissions/642799-ksat-quest-regression-runoff</t>
  </si>
  <si>
    <t>https://uta-datathon-25.devpost.com/submissions/642804-artifactnet</t>
  </si>
  <si>
    <t>https://uta-datathon-25.devpost.com/submissions/642828-geoquest_seed333</t>
  </si>
  <si>
    <t>https://uta-datathon-25.devpost.com/submissions/642829-sarcastic-self-help-guru</t>
  </si>
  <si>
    <t>https://uta-datathon-25.devpost.com/submissions/642847-llm</t>
  </si>
  <si>
    <t>https://uta-datathon-25.devpost.com/submissions/642912-ksatquest-regressionrunoff_jasp</t>
  </si>
  <si>
    <t>https://uta-datathon-25.devpost.com/submissions/642923-geoquest-the-hazard-chronicles</t>
  </si>
  <si>
    <t>https://uta-datathon-25.devpost.com/submissions/643118-eda-patrol</t>
  </si>
  <si>
    <t>https://uta-datathon-25.devpost.com/submissions/643126-data-doomsday</t>
  </si>
  <si>
    <t>https://uta-datathon-25.devpost.com/submissions/643296-esportsbot-ai</t>
  </si>
  <si>
    <t>https://uta-datathon-25.devpost.com/submissions/643330-forecasting-crime-trends-across-india</t>
  </si>
  <si>
    <t>https://uta-datathon-25.devpost.com/submissions/643343-teamwise</t>
  </si>
  <si>
    <t>https://uta-datathon-25.devpost.com/submissions/643385-atc-air-traffic-controller-ai</t>
  </si>
  <si>
    <t>https://uta-datathon-25.devpost.com/submissions/643399-safe-haven</t>
  </si>
  <si>
    <t>https://uta-datathon-25.devpost.com/submissions/643406-gazeintel</t>
  </si>
  <si>
    <t>https://uta-datathon-25.devpost.com/submissions/643428-truth-or-dare-ai</t>
  </si>
  <si>
    <t>https://uta-datathon-25.devpost.com/submissions/643449-terraflow-a-machine-learning-approach-to-predict-soil-ksat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</si>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</sst>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  <xf numFmtId="0" fontId="2" fillId="2" borderId="0" xfId="1" applyFill="1" applyAlignment="1" applyProtection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ta-datathon-25.devpost.com/submissions/642816-safe-haven_seed333" TargetMode="External"/><Relationship Id="rId2" Type="http://schemas.openxmlformats.org/officeDocument/2006/relationships/hyperlink" Target="https://uta-datathon-25.devpost.com/submissions/642815-safe-haven_datanauts" TargetMode="External"/><Relationship Id="rId1" Type="http://schemas.openxmlformats.org/officeDocument/2006/relationships/hyperlink" Target="https://uta-datathon-25.devpost.com/submissions/642400-safe-haven_healthintelligences" TargetMode="External"/><Relationship Id="rId5" Type="http://schemas.openxmlformats.org/officeDocument/2006/relationships/hyperlink" Target="https://uta-datathon-25.devpost.com/submissions/643399-safe-haven" TargetMode="External"/><Relationship Id="rId4" Type="http://schemas.openxmlformats.org/officeDocument/2006/relationships/hyperlink" Target="https://uta-datathon-25.devpost.com/submissions/642290-safe-hav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ta-datathon-25.devpost.com/submissions/642841-data-doomsday_datanauts" TargetMode="External"/><Relationship Id="rId2" Type="http://schemas.openxmlformats.org/officeDocument/2006/relationships/hyperlink" Target="https://uta-datathon-25.devpost.com/submissions/642709-data-doomsday_random" TargetMode="External"/><Relationship Id="rId1" Type="http://schemas.openxmlformats.org/officeDocument/2006/relationships/hyperlink" Target="https://uta-datathon-25.devpost.com/submissions/642563-data_doomdays_angelina" TargetMode="External"/><Relationship Id="rId6" Type="http://schemas.openxmlformats.org/officeDocument/2006/relationships/hyperlink" Target="https://uta-datathon-25.devpost.com/submissions/643126-data-doomsday" TargetMode="External"/><Relationship Id="rId5" Type="http://schemas.openxmlformats.org/officeDocument/2006/relationships/hyperlink" Target="https://uta-datathon-25.devpost.com/submissions/642447-data-doomsday" TargetMode="External"/><Relationship Id="rId4" Type="http://schemas.openxmlformats.org/officeDocument/2006/relationships/hyperlink" Target="https://uta-datathon-25.devpost.com/submissions/642281-daydoomdat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ta-datathon-25.devpost.com/submissions/642341-llm-arena_thundercats" TargetMode="External"/><Relationship Id="rId13" Type="http://schemas.openxmlformats.org/officeDocument/2006/relationships/hyperlink" Target="https://uta-datathon-25.devpost.com/submissions/643296-esportsbot-ai" TargetMode="External"/><Relationship Id="rId3" Type="http://schemas.openxmlformats.org/officeDocument/2006/relationships/hyperlink" Target="https://uta-datathon-25.devpost.com/submissions/642397-model-mash-llm-arena_gawkers" TargetMode="External"/><Relationship Id="rId7" Type="http://schemas.openxmlformats.org/officeDocument/2006/relationships/hyperlink" Target="https://uta-datathon-25.devpost.com/submissions/643473-model-mash_seed333" TargetMode="External"/><Relationship Id="rId12" Type="http://schemas.openxmlformats.org/officeDocument/2006/relationships/hyperlink" Target="https://uta-datathon-25.devpost.com/submissions/643343-teamwise" TargetMode="External"/><Relationship Id="rId2" Type="http://schemas.openxmlformats.org/officeDocument/2006/relationships/hyperlink" Target="https://uta-datathon-25.devpost.com/submissions/642319-model-mash-llm-arena_whitecoatai" TargetMode="External"/><Relationship Id="rId1" Type="http://schemas.openxmlformats.org/officeDocument/2006/relationships/hyperlink" Target="https://uta-datathon-25.devpost.com/submissions/642263-model-mash-llm-arena_askarlington" TargetMode="External"/><Relationship Id="rId6" Type="http://schemas.openxmlformats.org/officeDocument/2006/relationships/hyperlink" Target="https://uta-datathon-25.devpost.com/submissions/642789-model-mash-llm-arena_deployables" TargetMode="External"/><Relationship Id="rId11" Type="http://schemas.openxmlformats.org/officeDocument/2006/relationships/hyperlink" Target="https://uta-datathon-25.devpost.com/submissions/643406-gazeintel" TargetMode="External"/><Relationship Id="rId5" Type="http://schemas.openxmlformats.org/officeDocument/2006/relationships/hyperlink" Target="https://uta-datathon-25.devpost.com/submissions/642788-model-mash-llm-arena_code-crafters" TargetMode="External"/><Relationship Id="rId15" Type="http://schemas.openxmlformats.org/officeDocument/2006/relationships/hyperlink" Target="https://uta-datathon-25.devpost.com/submissions/642829-sarcastic-self-help-guru" TargetMode="External"/><Relationship Id="rId10" Type="http://schemas.openxmlformats.org/officeDocument/2006/relationships/hyperlink" Target="https://uta-datathon-25.devpost.com/submissions/642772-smart-switch" TargetMode="External"/><Relationship Id="rId4" Type="http://schemas.openxmlformats.org/officeDocument/2006/relationships/hyperlink" Target="https://uta-datathon-25.devpost.com/submissions/642729-model-mash-llm-arena_ptp" TargetMode="External"/><Relationship Id="rId9" Type="http://schemas.openxmlformats.org/officeDocument/2006/relationships/hyperlink" Target="https://uta-datathon-25.devpost.com/submissions/642712-model-mash-llm-arena" TargetMode="External"/><Relationship Id="rId14" Type="http://schemas.openxmlformats.org/officeDocument/2006/relationships/hyperlink" Target="https://uta-datathon-25.devpost.com/submissions/642847-ll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ta-datathon-25.devpost.com/submissions/643449-terraflow-a-machine-learning-approach-to-predict-soil-ksat" TargetMode="External"/><Relationship Id="rId3" Type="http://schemas.openxmlformats.org/officeDocument/2006/relationships/hyperlink" Target="https://uta-datathon-25.devpost.com/submissions/642814-ksat-quest-regression-runoff_code-crafters" TargetMode="External"/><Relationship Id="rId7" Type="http://schemas.openxmlformats.org/officeDocument/2006/relationships/hyperlink" Target="https://uta-datathon-25.devpost.com/submissions/642558-ksatflow-ml-powered-soil-permeability-estimation_buffden" TargetMode="External"/><Relationship Id="rId2" Type="http://schemas.openxmlformats.org/officeDocument/2006/relationships/hyperlink" Target="https://uta-datathon-25.devpost.com/submissions/642750-ksat-quest-regression-runoff_lastminuteminers" TargetMode="External"/><Relationship Id="rId1" Type="http://schemas.openxmlformats.org/officeDocument/2006/relationships/hyperlink" Target="https://uta-datathon-25.devpost.com/submissions/642743-ksat-quest-regression_datanauts" TargetMode="External"/><Relationship Id="rId6" Type="http://schemas.openxmlformats.org/officeDocument/2006/relationships/hyperlink" Target="https://uta-datathon-25.devpost.com/submissions/643172-ksat-quest-regression-runoff_dataminers" TargetMode="External"/><Relationship Id="rId5" Type="http://schemas.openxmlformats.org/officeDocument/2006/relationships/hyperlink" Target="https://uta-datathon-25.devpost.com/submissions/642843-ksat-quest_regression_runoff_team_soilutionists" TargetMode="External"/><Relationship Id="rId10" Type="http://schemas.openxmlformats.org/officeDocument/2006/relationships/hyperlink" Target="https://uta-datathon-25.devpost.com/submissions/642799-ksat-quest-regression-runoff" TargetMode="External"/><Relationship Id="rId4" Type="http://schemas.openxmlformats.org/officeDocument/2006/relationships/hyperlink" Target="https://uta-datathon-25.devpost.com/submissions/642822-ksat-quest-regression-runoff_nerdy_potatoes" TargetMode="External"/><Relationship Id="rId9" Type="http://schemas.openxmlformats.org/officeDocument/2006/relationships/hyperlink" Target="https://uta-datathon-25.devpost.com/submissions/642912-ksatquest-regressionrunoff_jas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uta-datathon-25.devpost.com/submissions/642823-dungeons-and-dragons_datanauts" TargetMode="External"/><Relationship Id="rId1" Type="http://schemas.openxmlformats.org/officeDocument/2006/relationships/hyperlink" Target="https://uta-datathon-25.devpost.com/submissions/642821-dungeons-and-dragons_seed33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ta-datathon-25.devpost.com/submissions/642923-geoquest-the-hazard-chronicles" TargetMode="External"/><Relationship Id="rId2" Type="http://schemas.openxmlformats.org/officeDocument/2006/relationships/hyperlink" Target="https://uta-datathon-25.devpost.com/submissions/643097-geoquest-the-hazard-chronicles_dataminers" TargetMode="External"/><Relationship Id="rId1" Type="http://schemas.openxmlformats.org/officeDocument/2006/relationships/hyperlink" Target="https://uta-datathon-25.devpost.com/submissions/642527-geoquest-the-hazard-chronicles_sssh" TargetMode="External"/><Relationship Id="rId4" Type="http://schemas.openxmlformats.org/officeDocument/2006/relationships/hyperlink" Target="https://uta-datathon-25.devpost.com/submissions/642828-geoquest_seed33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ta-datathon-25.devpost.com/submissions/643428-truth-or-dare-ai" TargetMode="External"/><Relationship Id="rId3" Type="http://schemas.openxmlformats.org/officeDocument/2006/relationships/hyperlink" Target="https://uta-datathon-25.devpost.com/submissions/642714-deepfake-duel-truth-vs-trickery_deepfakers" TargetMode="External"/><Relationship Id="rId7" Type="http://schemas.openxmlformats.org/officeDocument/2006/relationships/hyperlink" Target="https://uta-datathon-25.devpost.com/submissions/642764-deepfake-duel-truth-vs-trickery" TargetMode="External"/><Relationship Id="rId2" Type="http://schemas.openxmlformats.org/officeDocument/2006/relationships/hyperlink" Target="https://uta-datathon-25.devpost.com/submissions/642681-deepfake-duel-truth-vs-trickery_team-datacrafter" TargetMode="External"/><Relationship Id="rId1" Type="http://schemas.openxmlformats.org/officeDocument/2006/relationships/hyperlink" Target="https://uta-datathon-25.devpost.com/submissions/642642-deepfake-duel-truth-vs-trickery_teamverstappen" TargetMode="External"/><Relationship Id="rId6" Type="http://schemas.openxmlformats.org/officeDocument/2006/relationships/hyperlink" Target="https://uta-datathon-25.devpost.com/submissions/642635-that-looks-sus-shamrock" TargetMode="External"/><Relationship Id="rId5" Type="http://schemas.openxmlformats.org/officeDocument/2006/relationships/hyperlink" Target="https://uta-datathon-25.devpost.com/submissions/642810-deepfake-duel-truth-vs-trickery_code-crafters" TargetMode="External"/><Relationship Id="rId4" Type="http://schemas.openxmlformats.org/officeDocument/2006/relationships/hyperlink" Target="https://uta-datathon-25.devpost.com/submissions/642732-deepfake-duel-truth-vs-trickery_datanauts" TargetMode="External"/><Relationship Id="rId9" Type="http://schemas.openxmlformats.org/officeDocument/2006/relationships/hyperlink" Target="https://uta-datathon-25.devpost.com/submissions/642804-artifactnet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ta-datathon-25.devpost.com/submissions/642718-eda-patrol_deployables" TargetMode="External"/><Relationship Id="rId13" Type="http://schemas.openxmlformats.org/officeDocument/2006/relationships/hyperlink" Target="https://uta-datathon-25.devpost.com/submissions/642322-eda-patrol" TargetMode="External"/><Relationship Id="rId3" Type="http://schemas.openxmlformats.org/officeDocument/2006/relationships/hyperlink" Target="https://uta-datathon-25.devpost.com/submissions/642334-eda-patrol_dataminers" TargetMode="External"/><Relationship Id="rId7" Type="http://schemas.openxmlformats.org/officeDocument/2006/relationships/hyperlink" Target="https://uta-datathon-25.devpost.com/submissions/642546-eda-patrol_insightinnovators" TargetMode="External"/><Relationship Id="rId12" Type="http://schemas.openxmlformats.org/officeDocument/2006/relationships/hyperlink" Target="https://uta-datathon-25.devpost.com/submissions/642297-crimelens-india-analyzing-district-level-crime-trends" TargetMode="External"/><Relationship Id="rId2" Type="http://schemas.openxmlformats.org/officeDocument/2006/relationships/hyperlink" Target="https://uta-datathon-25.devpost.com/submissions/642306-eda-patrol_gawkers" TargetMode="External"/><Relationship Id="rId16" Type="http://schemas.openxmlformats.org/officeDocument/2006/relationships/hyperlink" Target="https://uta-datathon-25.devpost.com/submissions/642794-meet" TargetMode="External"/><Relationship Id="rId1" Type="http://schemas.openxmlformats.org/officeDocument/2006/relationships/hyperlink" Target="https://uta-datathon-25.devpost.com/submissions/642279-eda-patrol_nerdy_potatoes" TargetMode="External"/><Relationship Id="rId6" Type="http://schemas.openxmlformats.org/officeDocument/2006/relationships/hyperlink" Target="https://uta-datathon-25.devpost.com/submissions/642485-eda_patrol_datanauts" TargetMode="External"/><Relationship Id="rId11" Type="http://schemas.openxmlformats.org/officeDocument/2006/relationships/hyperlink" Target="https://uta-datathon-25.devpost.com/submissions/642266-shamrock" TargetMode="External"/><Relationship Id="rId5" Type="http://schemas.openxmlformats.org/officeDocument/2006/relationships/hyperlink" Target="https://uta-datathon-25.devpost.com/submissions/642455-eda-patrol_random" TargetMode="External"/><Relationship Id="rId15" Type="http://schemas.openxmlformats.org/officeDocument/2006/relationships/hyperlink" Target="https://uta-datathon-25.devpost.com/submissions/643118-eda-patrol" TargetMode="External"/><Relationship Id="rId10" Type="http://schemas.openxmlformats.org/officeDocument/2006/relationships/hyperlink" Target="https://uta-datathon-25.devpost.com/submissions/642264-eda-patrol-dataset" TargetMode="External"/><Relationship Id="rId4" Type="http://schemas.openxmlformats.org/officeDocument/2006/relationships/hyperlink" Target="https://uta-datathon-25.devpost.com/submissions/642450-eda_patrol" TargetMode="External"/><Relationship Id="rId9" Type="http://schemas.openxmlformats.org/officeDocument/2006/relationships/hyperlink" Target="https://uta-datathon-25.devpost.com/submissions/642796-eda-patrol_seed333" TargetMode="External"/><Relationship Id="rId14" Type="http://schemas.openxmlformats.org/officeDocument/2006/relationships/hyperlink" Target="https://uta-datathon-25.devpost.com/submissions/643330-forecasting-crime-trends-across-indi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ta-datathon-25.devpost.com/submissions/642793-rizztaurant" TargetMode="External"/><Relationship Id="rId2" Type="http://schemas.openxmlformats.org/officeDocument/2006/relationships/hyperlink" Target="https://uta-datathon-25.devpost.com/submissions/643385-atc-air-traffic-controller-ai" TargetMode="External"/><Relationship Id="rId1" Type="http://schemas.openxmlformats.org/officeDocument/2006/relationships/hyperlink" Target="https://uta-datathon-25.devpost.com/submissions/642260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3" sqref="E13"/>
    </sheetView>
  </sheetViews>
  <sheetFormatPr defaultColWidth="8.81640625" defaultRowHeight="14.5" x14ac:dyDescent="0.35"/>
  <cols>
    <col min="1" max="1" width="10.1796875" bestFit="1" customWidth="1"/>
    <col min="2" max="2" width="60.81640625" bestFit="1" customWidth="1"/>
    <col min="3" max="3" width="77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3</v>
      </c>
      <c r="B2" t="s">
        <v>4</v>
      </c>
      <c r="C2" s="2" t="s">
        <v>7</v>
      </c>
      <c r="D2">
        <v>755</v>
      </c>
    </row>
    <row r="3" spans="1:4" x14ac:dyDescent="0.35">
      <c r="A3" t="s">
        <v>3</v>
      </c>
      <c r="B3" t="s">
        <v>5</v>
      </c>
      <c r="C3" s="2" t="s">
        <v>8</v>
      </c>
      <c r="D3">
        <f>30+30+20+20+0</f>
        <v>100</v>
      </c>
    </row>
    <row r="4" spans="1:4" x14ac:dyDescent="0.35">
      <c r="A4" t="s">
        <v>3</v>
      </c>
      <c r="B4" t="s">
        <v>6</v>
      </c>
      <c r="C4" s="2" t="s">
        <v>9</v>
      </c>
      <c r="D4">
        <f>50+60+150+170+50</f>
        <v>480</v>
      </c>
    </row>
    <row r="5" spans="1:4" x14ac:dyDescent="0.35">
      <c r="A5" t="s">
        <v>3</v>
      </c>
      <c r="C5" s="2" t="s">
        <v>110</v>
      </c>
      <c r="D5">
        <f>50+150+100+100+50</f>
        <v>450</v>
      </c>
    </row>
    <row r="6" spans="1:4" x14ac:dyDescent="0.35">
      <c r="A6" t="s">
        <v>3</v>
      </c>
      <c r="C6" s="2" t="s">
        <v>135</v>
      </c>
      <c r="D6">
        <f>50+150+150+100+20</f>
        <v>470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800-000004000000}"/>
    <hyperlink ref="C6" r:id="rId5" xr:uid="{00000000-0004-0000-0800-00001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1" sqref="D1"/>
    </sheetView>
  </sheetViews>
  <sheetFormatPr defaultColWidth="8.81640625" defaultRowHeight="14.5" x14ac:dyDescent="0.35"/>
  <cols>
    <col min="1" max="1" width="14.1796875" bestFit="1" customWidth="1"/>
    <col min="2" max="2" width="63.453125" bestFit="1" customWidth="1"/>
    <col min="3" max="3" width="74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10</v>
      </c>
      <c r="B2" t="s">
        <v>11</v>
      </c>
    </row>
    <row r="3" spans="1:4" x14ac:dyDescent="0.35">
      <c r="A3" t="s">
        <v>10</v>
      </c>
      <c r="B3" t="s">
        <v>12</v>
      </c>
      <c r="C3" s="2" t="s">
        <v>15</v>
      </c>
    </row>
    <row r="4" spans="1:4" x14ac:dyDescent="0.35">
      <c r="A4" t="s">
        <v>10</v>
      </c>
      <c r="B4" t="s">
        <v>13</v>
      </c>
      <c r="C4" s="2" t="s">
        <v>16</v>
      </c>
    </row>
    <row r="5" spans="1:4" x14ac:dyDescent="0.35">
      <c r="A5" t="s">
        <v>10</v>
      </c>
      <c r="B5" t="s">
        <v>14</v>
      </c>
      <c r="C5" s="2" t="s">
        <v>17</v>
      </c>
    </row>
    <row r="6" spans="1:4" x14ac:dyDescent="0.35">
      <c r="A6" t="s">
        <v>81</v>
      </c>
      <c r="C6" s="2" t="s">
        <v>109</v>
      </c>
    </row>
    <row r="7" spans="1:4" x14ac:dyDescent="0.35">
      <c r="A7" t="s">
        <v>10</v>
      </c>
      <c r="C7" s="2" t="s">
        <v>114</v>
      </c>
    </row>
    <row r="8" spans="1:4" x14ac:dyDescent="0.35">
      <c r="A8" t="s">
        <v>10</v>
      </c>
      <c r="C8" s="2" t="s">
        <v>130</v>
      </c>
    </row>
  </sheetData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800-000003000000}"/>
    <hyperlink ref="C7" r:id="rId5" xr:uid="{00000000-0004-0000-0800-000008000000}"/>
    <hyperlink ref="C8" r:id="rId6" xr:uid="{00000000-0004-0000-08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D1" sqref="D1"/>
    </sheetView>
  </sheetViews>
  <sheetFormatPr defaultColWidth="8.81640625" defaultRowHeight="14.5" x14ac:dyDescent="0.35"/>
  <cols>
    <col min="1" max="1" width="21.6328125" bestFit="1" customWidth="1"/>
    <col min="2" max="2" width="71" bestFit="1" customWidth="1"/>
    <col min="3" max="3" width="83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18</v>
      </c>
      <c r="B2" t="s">
        <v>19</v>
      </c>
      <c r="C2" s="2" t="s">
        <v>27</v>
      </c>
    </row>
    <row r="3" spans="1:4" x14ac:dyDescent="0.35">
      <c r="A3" t="s">
        <v>18</v>
      </c>
      <c r="B3" t="s">
        <v>20</v>
      </c>
      <c r="C3" s="2" t="s">
        <v>28</v>
      </c>
    </row>
    <row r="4" spans="1:4" x14ac:dyDescent="0.35">
      <c r="A4" t="s">
        <v>18</v>
      </c>
      <c r="B4" t="s">
        <v>21</v>
      </c>
      <c r="C4" s="2" t="s">
        <v>29</v>
      </c>
    </row>
    <row r="5" spans="1:4" x14ac:dyDescent="0.35">
      <c r="A5" t="s">
        <v>18</v>
      </c>
      <c r="B5" t="s">
        <v>22</v>
      </c>
      <c r="C5" s="2" t="s">
        <v>30</v>
      </c>
    </row>
    <row r="6" spans="1:4" x14ac:dyDescent="0.35">
      <c r="A6" t="s">
        <v>18</v>
      </c>
      <c r="B6" t="s">
        <v>23</v>
      </c>
    </row>
    <row r="7" spans="1:4" x14ac:dyDescent="0.35">
      <c r="A7" t="s">
        <v>18</v>
      </c>
      <c r="B7" t="s">
        <v>24</v>
      </c>
      <c r="C7" s="2" t="s">
        <v>31</v>
      </c>
    </row>
    <row r="8" spans="1:4" x14ac:dyDescent="0.35">
      <c r="A8" t="s">
        <v>18</v>
      </c>
      <c r="B8" t="s">
        <v>25</v>
      </c>
      <c r="C8" s="2" t="s">
        <v>32</v>
      </c>
    </row>
    <row r="9" spans="1:4" x14ac:dyDescent="0.35">
      <c r="A9" t="s">
        <v>18</v>
      </c>
      <c r="B9" t="s">
        <v>6</v>
      </c>
      <c r="C9" s="2" t="s">
        <v>33</v>
      </c>
    </row>
    <row r="10" spans="1:4" x14ac:dyDescent="0.35">
      <c r="A10" t="s">
        <v>18</v>
      </c>
      <c r="B10" t="s">
        <v>26</v>
      </c>
    </row>
    <row r="11" spans="1:4" x14ac:dyDescent="0.35">
      <c r="A11" t="s">
        <v>84</v>
      </c>
      <c r="C11" s="2" t="s">
        <v>113</v>
      </c>
    </row>
    <row r="12" spans="1:4" x14ac:dyDescent="0.35">
      <c r="A12" t="s">
        <v>18</v>
      </c>
      <c r="C12" s="2" t="s">
        <v>117</v>
      </c>
    </row>
    <row r="13" spans="1:4" x14ac:dyDescent="0.35">
      <c r="A13" t="s">
        <v>91</v>
      </c>
      <c r="C13" s="2" t="s">
        <v>119</v>
      </c>
    </row>
    <row r="14" spans="1:4" x14ac:dyDescent="0.35">
      <c r="A14" t="s">
        <v>103</v>
      </c>
      <c r="C14" s="2" t="s">
        <v>136</v>
      </c>
    </row>
    <row r="15" spans="1:4" x14ac:dyDescent="0.35">
      <c r="A15" t="s">
        <v>101</v>
      </c>
      <c r="C15" s="2" t="s">
        <v>133</v>
      </c>
    </row>
    <row r="16" spans="1:4" x14ac:dyDescent="0.35">
      <c r="A16" t="s">
        <v>99</v>
      </c>
      <c r="C16" s="2" t="s">
        <v>131</v>
      </c>
    </row>
    <row r="17" spans="1:3" x14ac:dyDescent="0.35">
      <c r="A17" t="s">
        <v>97</v>
      </c>
      <c r="C17" s="2" t="s">
        <v>126</v>
      </c>
    </row>
    <row r="18" spans="1:3" x14ac:dyDescent="0.35">
      <c r="A18" t="s">
        <v>96</v>
      </c>
      <c r="C18" s="2" t="s">
        <v>125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1" r:id="rId8" xr:uid="{00000000-0004-0000-0800-000007000000}"/>
    <hyperlink ref="C12" r:id="rId9" xr:uid="{00000000-0004-0000-0800-00000B000000}"/>
    <hyperlink ref="C13" r:id="rId10" xr:uid="{00000000-0004-0000-0800-00000D000000}"/>
    <hyperlink ref="C14" r:id="rId11" xr:uid="{00000000-0004-0000-0800-00001E000000}"/>
    <hyperlink ref="C15" r:id="rId12" xr:uid="{00000000-0004-0000-0800-00001B000000}"/>
    <hyperlink ref="C16" r:id="rId13" xr:uid="{00000000-0004-0000-0800-000019000000}"/>
    <hyperlink ref="C17" r:id="rId14" xr:uid="{00000000-0004-0000-0800-000014000000}"/>
    <hyperlink ref="C18" r:id="rId15" xr:uid="{00000000-0004-0000-0800-00001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opLeftCell="B1" workbookViewId="0">
      <selection activeCell="D1" sqref="D1"/>
    </sheetView>
  </sheetViews>
  <sheetFormatPr defaultColWidth="8.81640625" defaultRowHeight="14.5" x14ac:dyDescent="0.35"/>
  <cols>
    <col min="1" max="1" width="51.6328125" bestFit="1" customWidth="1"/>
    <col min="2" max="2" width="102.1796875" bestFit="1" customWidth="1"/>
    <col min="3" max="3" width="93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34</v>
      </c>
      <c r="B2" t="s">
        <v>5</v>
      </c>
      <c r="C2" s="2" t="s">
        <v>39</v>
      </c>
    </row>
    <row r="3" spans="1:4" x14ac:dyDescent="0.35">
      <c r="A3" t="s">
        <v>34</v>
      </c>
      <c r="B3" t="s">
        <v>35</v>
      </c>
      <c r="C3" s="2" t="s">
        <v>40</v>
      </c>
    </row>
    <row r="4" spans="1:4" x14ac:dyDescent="0.35">
      <c r="A4" t="s">
        <v>34</v>
      </c>
      <c r="B4" t="s">
        <v>24</v>
      </c>
      <c r="C4" s="2" t="s">
        <v>41</v>
      </c>
    </row>
    <row r="5" spans="1:4" x14ac:dyDescent="0.35">
      <c r="A5" t="s">
        <v>34</v>
      </c>
      <c r="B5" t="s">
        <v>36</v>
      </c>
      <c r="C5" s="2" t="s">
        <v>42</v>
      </c>
    </row>
    <row r="6" spans="1:4" x14ac:dyDescent="0.35">
      <c r="A6" t="s">
        <v>34</v>
      </c>
      <c r="B6" t="s">
        <v>37</v>
      </c>
      <c r="C6" s="2" t="s">
        <v>43</v>
      </c>
    </row>
    <row r="7" spans="1:4" x14ac:dyDescent="0.35">
      <c r="A7" t="s">
        <v>34</v>
      </c>
      <c r="B7" t="s">
        <v>38</v>
      </c>
      <c r="C7" s="2" t="s">
        <v>44</v>
      </c>
    </row>
    <row r="8" spans="1:4" x14ac:dyDescent="0.35">
      <c r="A8" t="s">
        <v>86</v>
      </c>
      <c r="C8" s="2" t="s">
        <v>115</v>
      </c>
    </row>
    <row r="9" spans="1:4" x14ac:dyDescent="0.35">
      <c r="A9" t="s">
        <v>105</v>
      </c>
      <c r="C9" s="2" t="s">
        <v>138</v>
      </c>
    </row>
    <row r="10" spans="1:4" x14ac:dyDescent="0.35">
      <c r="A10" t="s">
        <v>98</v>
      </c>
      <c r="C10" s="2" t="s">
        <v>127</v>
      </c>
    </row>
    <row r="11" spans="1:4" x14ac:dyDescent="0.35">
      <c r="A11" t="s">
        <v>34</v>
      </c>
      <c r="C11" s="2" t="s">
        <v>122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800-000009000000}"/>
    <hyperlink ref="C9" r:id="rId8" xr:uid="{00000000-0004-0000-0800-000020000000}"/>
    <hyperlink ref="C10" r:id="rId9" xr:uid="{00000000-0004-0000-0800-000015000000}"/>
    <hyperlink ref="C11" r:id="rId10" xr:uid="{00000000-0004-0000-0800-00001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1" sqref="D1"/>
    </sheetView>
  </sheetViews>
  <sheetFormatPr defaultColWidth="8.81640625" defaultRowHeight="14.5" x14ac:dyDescent="0.35"/>
  <cols>
    <col min="1" max="1" width="20.36328125" bestFit="1" customWidth="1"/>
    <col min="2" max="2" width="10.81640625" bestFit="1" customWidth="1"/>
    <col min="3" max="3" width="80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45</v>
      </c>
      <c r="B2" t="s">
        <v>6</v>
      </c>
      <c r="C2" s="2" t="s">
        <v>46</v>
      </c>
    </row>
    <row r="3" spans="1:4" x14ac:dyDescent="0.35">
      <c r="A3" t="s">
        <v>45</v>
      </c>
      <c r="B3" t="s">
        <v>14</v>
      </c>
      <c r="C3" s="2" t="s">
        <v>47</v>
      </c>
    </row>
  </sheetData>
  <hyperlinks>
    <hyperlink ref="C2" r:id="rId1" xr:uid="{00000000-0004-0000-0400-000000000000}"/>
    <hyperlink ref="C3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opLeftCell="B1" workbookViewId="0">
      <selection activeCell="D1" sqref="D1"/>
    </sheetView>
  </sheetViews>
  <sheetFormatPr defaultColWidth="8.81640625" defaultRowHeight="14.5" x14ac:dyDescent="0.35"/>
  <cols>
    <col min="1" max="1" width="29" bestFit="1" customWidth="1"/>
    <col min="2" max="2" width="78.453125" bestFit="1" customWidth="1"/>
    <col min="3" max="3" width="8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48</v>
      </c>
      <c r="B2" t="s">
        <v>26</v>
      </c>
      <c r="C2" s="2" t="s">
        <v>49</v>
      </c>
    </row>
    <row r="3" spans="1:4" x14ac:dyDescent="0.35">
      <c r="A3" t="s">
        <v>48</v>
      </c>
      <c r="B3" t="s">
        <v>38</v>
      </c>
      <c r="C3" s="2" t="s">
        <v>50</v>
      </c>
    </row>
    <row r="4" spans="1:4" x14ac:dyDescent="0.35">
      <c r="A4" t="s">
        <v>48</v>
      </c>
      <c r="C4" s="2" t="s">
        <v>128</v>
      </c>
    </row>
    <row r="5" spans="1:4" x14ac:dyDescent="0.35">
      <c r="A5" t="s">
        <v>95</v>
      </c>
      <c r="C5" s="2" t="s">
        <v>124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800-000016000000}"/>
    <hyperlink ref="C5" r:id="rId4" xr:uid="{00000000-0004-0000-0800-00001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topLeftCell="C1" workbookViewId="0">
      <selection activeCell="D1" sqref="D1"/>
    </sheetView>
  </sheetViews>
  <sheetFormatPr defaultColWidth="8.81640625" defaultRowHeight="14.5" x14ac:dyDescent="0.35"/>
  <cols>
    <col min="1" max="1" width="28.6328125" bestFit="1" customWidth="1"/>
    <col min="2" max="2" width="78.1796875" bestFit="1" customWidth="1"/>
    <col min="3" max="3" width="93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51</v>
      </c>
      <c r="B2" t="s">
        <v>52</v>
      </c>
      <c r="C2" s="2" t="s">
        <v>54</v>
      </c>
    </row>
    <row r="3" spans="1:4" x14ac:dyDescent="0.35">
      <c r="A3" t="s">
        <v>51</v>
      </c>
      <c r="B3" t="s">
        <v>23</v>
      </c>
      <c r="C3" s="2" t="s">
        <v>55</v>
      </c>
    </row>
    <row r="4" spans="1:4" x14ac:dyDescent="0.35">
      <c r="A4" t="s">
        <v>51</v>
      </c>
      <c r="B4" t="s">
        <v>53</v>
      </c>
      <c r="C4" s="2" t="s">
        <v>56</v>
      </c>
    </row>
    <row r="5" spans="1:4" x14ac:dyDescent="0.35">
      <c r="A5" t="s">
        <v>51</v>
      </c>
      <c r="B5" t="s">
        <v>5</v>
      </c>
      <c r="C5" s="2" t="s">
        <v>57</v>
      </c>
    </row>
    <row r="6" spans="1:4" x14ac:dyDescent="0.35">
      <c r="A6" t="s">
        <v>51</v>
      </c>
      <c r="B6" t="s">
        <v>24</v>
      </c>
      <c r="C6" s="2" t="s">
        <v>58</v>
      </c>
    </row>
    <row r="7" spans="1:4" x14ac:dyDescent="0.35">
      <c r="A7" t="s">
        <v>87</v>
      </c>
      <c r="C7" s="2" t="s">
        <v>116</v>
      </c>
    </row>
    <row r="8" spans="1:4" x14ac:dyDescent="0.35">
      <c r="A8" t="s">
        <v>51</v>
      </c>
      <c r="C8" s="2" t="s">
        <v>118</v>
      </c>
    </row>
    <row r="9" spans="1:4" x14ac:dyDescent="0.35">
      <c r="A9" t="s">
        <v>104</v>
      </c>
      <c r="C9" s="2" t="s">
        <v>137</v>
      </c>
    </row>
    <row r="10" spans="1:4" x14ac:dyDescent="0.35">
      <c r="A10" t="s">
        <v>94</v>
      </c>
      <c r="C10" s="2" t="s">
        <v>123</v>
      </c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  <hyperlink ref="C5" r:id="rId4" xr:uid="{00000000-0004-0000-0600-000003000000}"/>
    <hyperlink ref="C6" r:id="rId5" xr:uid="{00000000-0004-0000-0600-000004000000}"/>
    <hyperlink ref="C7" r:id="rId6" xr:uid="{00000000-0004-0000-0800-00000A000000}"/>
    <hyperlink ref="C8" r:id="rId7" xr:uid="{00000000-0004-0000-0800-00000C000000}"/>
    <hyperlink ref="C9" r:id="rId8" xr:uid="{00000000-0004-0000-0800-00001F000000}"/>
    <hyperlink ref="C10" r:id="rId9" xr:uid="{00000000-0004-0000-0800-00001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>
      <selection activeCell="D1" sqref="D1"/>
    </sheetView>
  </sheetViews>
  <sheetFormatPr defaultColWidth="8.81640625" defaultRowHeight="14.5" x14ac:dyDescent="0.35"/>
  <cols>
    <col min="1" max="1" width="16.453125" bestFit="1" customWidth="1"/>
    <col min="2" max="2" width="67.453125" bestFit="1" customWidth="1"/>
    <col min="3" max="3" width="76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5" t="s">
        <v>139</v>
      </c>
    </row>
    <row r="2" spans="1:4" x14ac:dyDescent="0.35">
      <c r="A2" t="s">
        <v>59</v>
      </c>
      <c r="B2" t="s">
        <v>60</v>
      </c>
      <c r="C2" s="2" t="s">
        <v>63</v>
      </c>
    </row>
    <row r="3" spans="1:4" x14ac:dyDescent="0.35">
      <c r="A3" t="s">
        <v>59</v>
      </c>
      <c r="B3" t="s">
        <v>21</v>
      </c>
      <c r="C3" s="2" t="s">
        <v>64</v>
      </c>
    </row>
    <row r="4" spans="1:4" x14ac:dyDescent="0.35">
      <c r="A4" t="s">
        <v>59</v>
      </c>
      <c r="B4" t="s">
        <v>38</v>
      </c>
      <c r="C4" s="2" t="s">
        <v>65</v>
      </c>
    </row>
    <row r="5" spans="1:4" x14ac:dyDescent="0.35">
      <c r="A5" t="s">
        <v>59</v>
      </c>
      <c r="B5" t="s">
        <v>61</v>
      </c>
      <c r="C5" s="2" t="s">
        <v>66</v>
      </c>
    </row>
    <row r="6" spans="1:4" x14ac:dyDescent="0.35">
      <c r="A6" t="s">
        <v>59</v>
      </c>
      <c r="B6" t="s">
        <v>13</v>
      </c>
      <c r="C6" s="2" t="s">
        <v>67</v>
      </c>
    </row>
    <row r="7" spans="1:4" x14ac:dyDescent="0.35">
      <c r="A7" t="s">
        <v>59</v>
      </c>
      <c r="B7" t="s">
        <v>61</v>
      </c>
      <c r="C7" s="2" t="s">
        <v>68</v>
      </c>
    </row>
    <row r="8" spans="1:4" x14ac:dyDescent="0.35">
      <c r="A8" t="s">
        <v>59</v>
      </c>
      <c r="B8" t="s">
        <v>62</v>
      </c>
      <c r="C8" s="2" t="s">
        <v>69</v>
      </c>
    </row>
    <row r="9" spans="1:4" x14ac:dyDescent="0.35">
      <c r="A9" t="s">
        <v>59</v>
      </c>
      <c r="B9" t="s">
        <v>25</v>
      </c>
      <c r="C9" s="2" t="s">
        <v>70</v>
      </c>
    </row>
    <row r="10" spans="1:4" x14ac:dyDescent="0.35">
      <c r="A10" t="s">
        <v>59</v>
      </c>
      <c r="B10" t="s">
        <v>6</v>
      </c>
      <c r="C10" s="2" t="s">
        <v>71</v>
      </c>
    </row>
    <row r="11" spans="1:4" x14ac:dyDescent="0.35">
      <c r="A11" t="s">
        <v>78</v>
      </c>
      <c r="C11" s="2" t="s">
        <v>107</v>
      </c>
    </row>
    <row r="12" spans="1:4" x14ac:dyDescent="0.35">
      <c r="A12" t="s">
        <v>79</v>
      </c>
      <c r="C12" s="2" t="s">
        <v>108</v>
      </c>
    </row>
    <row r="13" spans="1:4" x14ac:dyDescent="0.35">
      <c r="A13" t="s">
        <v>83</v>
      </c>
      <c r="C13" s="2" t="s">
        <v>111</v>
      </c>
    </row>
    <row r="14" spans="1:4" x14ac:dyDescent="0.35">
      <c r="A14" t="s">
        <v>59</v>
      </c>
      <c r="C14" s="2" t="s">
        <v>112</v>
      </c>
    </row>
    <row r="15" spans="1:4" x14ac:dyDescent="0.35">
      <c r="A15" t="s">
        <v>100</v>
      </c>
      <c r="C15" s="2" t="s">
        <v>132</v>
      </c>
    </row>
    <row r="16" spans="1:4" x14ac:dyDescent="0.35">
      <c r="A16" t="s">
        <v>59</v>
      </c>
      <c r="C16" s="2" t="s">
        <v>129</v>
      </c>
    </row>
    <row r="17" spans="1:3" x14ac:dyDescent="0.35">
      <c r="A17" t="s">
        <v>93</v>
      </c>
      <c r="C17" s="2" t="s">
        <v>121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800-000001000000}"/>
    <hyperlink ref="C12" r:id="rId11" xr:uid="{00000000-0004-0000-0800-000002000000}"/>
    <hyperlink ref="C13" r:id="rId12" xr:uid="{00000000-0004-0000-0800-000005000000}"/>
    <hyperlink ref="C14" r:id="rId13" xr:uid="{00000000-0004-0000-0800-000006000000}"/>
    <hyperlink ref="C15" r:id="rId14" xr:uid="{00000000-0004-0000-0800-00001A000000}"/>
    <hyperlink ref="C16" r:id="rId15" xr:uid="{00000000-0004-0000-0800-000017000000}"/>
    <hyperlink ref="C17" r:id="rId16" xr:uid="{00000000-0004-0000-0800-00000F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5"/>
  <sheetViews>
    <sheetView topLeftCell="A2" zoomScale="110" zoomScaleNormal="110" workbookViewId="0">
      <selection activeCell="A60" sqref="A60"/>
    </sheetView>
  </sheetViews>
  <sheetFormatPr defaultColWidth="8.81640625" defaultRowHeight="14.5" x14ac:dyDescent="0.35"/>
  <cols>
    <col min="1" max="1" width="51.6328125" bestFit="1" customWidth="1"/>
    <col min="2" max="2" width="102.1796875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t="s">
        <v>74</v>
      </c>
    </row>
    <row r="3" spans="1:2" x14ac:dyDescent="0.35">
      <c r="A3" t="s">
        <v>75</v>
      </c>
    </row>
    <row r="4" spans="1:2" x14ac:dyDescent="0.35">
      <c r="A4" t="s">
        <v>76</v>
      </c>
    </row>
    <row r="5" spans="1:2" x14ac:dyDescent="0.35">
      <c r="A5" t="s">
        <v>77</v>
      </c>
      <c r="B5" s="2" t="s">
        <v>106</v>
      </c>
    </row>
    <row r="7" spans="1:2" x14ac:dyDescent="0.35">
      <c r="A7" t="s">
        <v>75</v>
      </c>
    </row>
    <row r="9" spans="1:2" x14ac:dyDescent="0.35">
      <c r="A9" t="s">
        <v>75</v>
      </c>
    </row>
    <row r="10" spans="1:2" x14ac:dyDescent="0.35">
      <c r="A10" t="s">
        <v>80</v>
      </c>
    </row>
    <row r="12" spans="1:2" x14ac:dyDescent="0.35">
      <c r="A12" t="s">
        <v>75</v>
      </c>
    </row>
    <row r="14" spans="1:2" x14ac:dyDescent="0.35">
      <c r="A14" t="s">
        <v>82</v>
      </c>
    </row>
    <row r="16" spans="1:2" x14ac:dyDescent="0.35">
      <c r="A16" t="s">
        <v>75</v>
      </c>
    </row>
    <row r="17" spans="1:1" x14ac:dyDescent="0.35">
      <c r="A17" t="s">
        <v>75</v>
      </c>
    </row>
    <row r="19" spans="1:1" x14ac:dyDescent="0.35">
      <c r="A19" t="s">
        <v>75</v>
      </c>
    </row>
    <row r="21" spans="1:1" x14ac:dyDescent="0.35">
      <c r="A21" t="s">
        <v>59</v>
      </c>
    </row>
    <row r="22" spans="1:1" x14ac:dyDescent="0.35">
      <c r="A22" t="s">
        <v>75</v>
      </c>
    </row>
    <row r="23" spans="1:1" x14ac:dyDescent="0.35">
      <c r="A23" t="s">
        <v>75</v>
      </c>
    </row>
    <row r="25" spans="1:1" x14ac:dyDescent="0.35">
      <c r="A25" t="s">
        <v>85</v>
      </c>
    </row>
    <row r="28" spans="1:1" x14ac:dyDescent="0.35">
      <c r="A28" t="s">
        <v>75</v>
      </c>
    </row>
    <row r="29" spans="1:1" x14ac:dyDescent="0.35">
      <c r="A29" t="s">
        <v>88</v>
      </c>
    </row>
    <row r="31" spans="1:1" x14ac:dyDescent="0.35">
      <c r="A31" t="s">
        <v>89</v>
      </c>
    </row>
    <row r="32" spans="1:1" x14ac:dyDescent="0.35">
      <c r="A32" t="s">
        <v>34</v>
      </c>
    </row>
    <row r="33" spans="1:1" x14ac:dyDescent="0.35">
      <c r="A33" t="s">
        <v>90</v>
      </c>
    </row>
    <row r="34" spans="1:1" x14ac:dyDescent="0.35">
      <c r="A34" t="s">
        <v>75</v>
      </c>
    </row>
    <row r="40" spans="1:1" x14ac:dyDescent="0.35">
      <c r="A40" t="s">
        <v>75</v>
      </c>
    </row>
    <row r="42" spans="1:1" x14ac:dyDescent="0.35">
      <c r="A42" t="s">
        <v>75</v>
      </c>
    </row>
    <row r="54" spans="1:3" s="3" customFormat="1" x14ac:dyDescent="0.35">
      <c r="A54" s="3" t="s">
        <v>102</v>
      </c>
      <c r="B54" s="4" t="s">
        <v>134</v>
      </c>
    </row>
    <row r="55" spans="1:3" s="3" customFormat="1" x14ac:dyDescent="0.35">
      <c r="A55" s="3" t="s">
        <v>92</v>
      </c>
      <c r="C55" s="4" t="s">
        <v>120</v>
      </c>
    </row>
  </sheetData>
  <hyperlinks>
    <hyperlink ref="B5" r:id="rId1" xr:uid="{00000000-0004-0000-0800-000000000000}"/>
    <hyperlink ref="B54" r:id="rId2" xr:uid="{00000000-0004-0000-0800-00001C000000}"/>
    <hyperlink ref="C55" r:id="rId3" xr:uid="{00000000-0004-0000-08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Dr. Yang</vt:lpstr>
      <vt:lpstr>Dr. Conolly</vt:lpstr>
      <vt:lpstr>Dr. Rivas</vt:lpstr>
      <vt:lpstr>Dr. Behzad</vt:lpstr>
      <vt:lpstr>Rubab</vt:lpstr>
      <vt:lpstr>Nikhitha</vt:lpstr>
      <vt:lpstr>Abhijit</vt:lpstr>
      <vt:lpstr>Clivin, Jay, zecil</vt:lpstr>
      <vt:lpstr>No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Jain, Zecil Yogeshkumar</cp:lastModifiedBy>
  <dcterms:created xsi:type="dcterms:W3CDTF">2025-04-13T16:03:20Z</dcterms:created>
  <dcterms:modified xsi:type="dcterms:W3CDTF">2025-04-20T16:32:34Z</dcterms:modified>
</cp:coreProperties>
</file>